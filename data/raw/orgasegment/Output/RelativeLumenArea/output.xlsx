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ds\DATA\KIND\researchklz\KLZ-LAB_21-000_ORGASEGMENT\publication\G_Output\RelativeLumenArea\"/>
    </mc:Choice>
  </mc:AlternateContent>
  <xr:revisionPtr revIDLastSave="0" documentId="13_ncr:1_{FDB37800-69CA-423C-AF4E-560DEF0CDCAD}" xr6:coauthVersionLast="47" xr6:coauthVersionMax="47" xr10:uidLastSave="{00000000-0000-0000-0000-000000000000}"/>
  <bookViews>
    <workbookView xWindow="-120" yWindow="-120" windowWidth="29040" windowHeight="15840" xr2:uid="{44F6D611-2939-4EB5-8BDF-D9C8A15B6E0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</calcChain>
</file>

<file path=xl/sharedStrings.xml><?xml version="1.0" encoding="utf-8"?>
<sst xmlns="http://schemas.openxmlformats.org/spreadsheetml/2006/main" count="57" uniqueCount="33">
  <si>
    <t>Well</t>
  </si>
  <si>
    <t>Donor</t>
  </si>
  <si>
    <t>Condition</t>
  </si>
  <si>
    <t>DMSO</t>
  </si>
  <si>
    <t>A2</t>
  </si>
  <si>
    <t>A8</t>
  </si>
  <si>
    <t>A9</t>
  </si>
  <si>
    <t>A10</t>
  </si>
  <si>
    <t>A11</t>
  </si>
  <si>
    <t>B1</t>
  </si>
  <si>
    <t>B3</t>
  </si>
  <si>
    <t>B8</t>
  </si>
  <si>
    <t>B10</t>
  </si>
  <si>
    <t>E1</t>
  </si>
  <si>
    <t>E2</t>
  </si>
  <si>
    <t>E8</t>
  </si>
  <si>
    <t>F7</t>
  </si>
  <si>
    <t>H2</t>
  </si>
  <si>
    <t>H9</t>
  </si>
  <si>
    <t>VX445_VX661_VX770</t>
  </si>
  <si>
    <t>Lumen T0 (0 hours)</t>
  </si>
  <si>
    <t>Organoid T1 (24 hour)</t>
  </si>
  <si>
    <t>Lumen T1 (24 hour)</t>
  </si>
  <si>
    <t>Organoid T2 (25 hour)</t>
  </si>
  <si>
    <t>Lumen T2 (25 hour)</t>
  </si>
  <si>
    <t>Organoid T0 (0 hour)</t>
  </si>
  <si>
    <t>PDIO_07</t>
  </si>
  <si>
    <t>PDIO_01</t>
  </si>
  <si>
    <t>PDIO_02</t>
  </si>
  <si>
    <t>PDIO_03</t>
  </si>
  <si>
    <t>RelativeLumenArea T0</t>
  </si>
  <si>
    <t>RelativeLumenArea T1</t>
  </si>
  <si>
    <t>RelativeLumenArea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</si>
</sst>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Standaard" xfId="0" builtinId="0"/>
  </cellStyles>
  <dxfs count="15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04925-BB6D-4F29-9BA1-46A50442699C}" name="Tabel3" displayName="Tabel3" ref="A1:L16" totalsRowShown="0" headerRowDxfId="1" dataDxfId="0" tableBorderDxfId="14" headerRowCellStyle="Standaard" dataCellStyle="Standaard">
  <autoFilter ref="A1:L16" xr:uid="{3E604925-BB6D-4F29-9BA1-46A50442699C}"/>
  <tableColumns count="12">
    <tableColumn id="2" xr3:uid="{20178520-2889-47DF-A545-D14A14444FBC}" name="Well" dataDxfId="13" dataCellStyle="Standaard"/>
    <tableColumn id="3" xr3:uid="{2E1CAB3C-F662-4155-B86D-199AF41AAB93}" name="Donor" dataDxfId="12" dataCellStyle="Standaard"/>
    <tableColumn id="4" xr3:uid="{916C0075-5A76-4006-ADE8-863AE47610CE}" name="Condition" dataDxfId="11" dataCellStyle="Standaard"/>
    <tableColumn id="8" xr3:uid="{9BBFE741-1D4E-43DB-9CAA-0C2293614858}" name="Organoid T0 (0 hour)" dataDxfId="10" dataCellStyle="Standaard"/>
    <tableColumn id="9" xr3:uid="{FAE6608D-C004-4382-BDB5-BABF80C816B8}" name="Lumen T0 (0 hours)" dataDxfId="9" dataCellStyle="Standaard"/>
    <tableColumn id="10" xr3:uid="{5E4910D8-D332-4D1D-9D35-0AD733BAD754}" name="Organoid T1 (24 hour)" dataDxfId="8" dataCellStyle="Standaard"/>
    <tableColumn id="11" xr3:uid="{C9915E57-6C7A-4241-B358-90C1817BEC04}" name="Lumen T1 (24 hour)" dataDxfId="7" dataCellStyle="Standaard"/>
    <tableColumn id="12" xr3:uid="{671CB1BD-5B76-44FA-A6B0-7087F479EA17}" name="Organoid T2 (25 hour)" dataDxfId="6" dataCellStyle="Standaard"/>
    <tableColumn id="13" xr3:uid="{2F6CC752-1F79-4529-B98E-463FE96AF5C5}" name="Lumen T2 (25 hour)" dataDxfId="5" dataCellStyle="Standaard"/>
    <tableColumn id="15" xr3:uid="{0AB4C842-DDE2-4546-AE77-9FE0BD1730CB}" name="RelativeLumenArea T0" dataDxfId="4" dataCellStyle="Standaard"/>
    <tableColumn id="16" xr3:uid="{5ED1ADBD-5863-4456-A038-B29D39F5E422}" name="RelativeLumenArea T1" dataDxfId="3" dataCellStyle="Standaard"/>
    <tableColumn id="17" xr3:uid="{9DCD4821-B32D-43D5-BB6D-B6BF9C716BD4}" name="RelativeLumenArea T2" dataDxfId="2" dataCellStyle="Standa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2FAA-7082-427D-8061-62197DF11344}">
  <dimension ref="A1:L16"/>
  <sheetViews>
    <sheetView tabSelected="1" workbookViewId="0">
      <selection activeCell="N8" sqref="N8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30</v>
      </c>
      <c r="K1" s="1" t="s">
        <v>31</v>
      </c>
      <c r="L1" s="1" t="s">
        <v>32</v>
      </c>
    </row>
    <row r="2" spans="1:12" x14ac:dyDescent="0.25">
      <c r="A2" s="1" t="s">
        <v>4</v>
      </c>
      <c r="B2" s="1" t="s">
        <v>26</v>
      </c>
      <c r="C2" s="1" t="s">
        <v>3</v>
      </c>
      <c r="D2" s="1">
        <v>223791</v>
      </c>
      <c r="E2" s="1">
        <v>21523</v>
      </c>
      <c r="F2" s="1">
        <v>228543</v>
      </c>
      <c r="G2" s="1">
        <v>24799</v>
      </c>
      <c r="H2" s="1">
        <v>240578</v>
      </c>
      <c r="I2" s="1">
        <v>32748</v>
      </c>
      <c r="J2" s="1">
        <f>Tabel3[[#This Row],[Lumen T0 (0 hours)]]/Tabel3[[#This Row],[Organoid T0 (0 hour)]]*100</f>
        <v>9.6174555723867368</v>
      </c>
      <c r="K2" s="1">
        <f>Tabel3[[#This Row],[Lumen T1 (24 hour)]]/Tabel3[[#This Row],[Organoid T1 (24 hour)]]*100</f>
        <v>10.850912082190224</v>
      </c>
      <c r="L2" s="1">
        <f>Tabel3[[#This Row],[Lumen T2 (25 hour)]]/Tabel3[[#This Row],[Organoid T2 (25 hour)]]*100</f>
        <v>13.612217243471973</v>
      </c>
    </row>
    <row r="3" spans="1:12" x14ac:dyDescent="0.25">
      <c r="A3" s="1" t="s">
        <v>5</v>
      </c>
      <c r="B3" s="1" t="s">
        <v>29</v>
      </c>
      <c r="C3" s="1" t="s">
        <v>19</v>
      </c>
      <c r="D3" s="1">
        <v>73865</v>
      </c>
      <c r="E3" s="1">
        <v>4062</v>
      </c>
      <c r="F3" s="1">
        <v>213295</v>
      </c>
      <c r="G3" s="1">
        <v>157837</v>
      </c>
      <c r="H3" s="1">
        <v>248606</v>
      </c>
      <c r="I3" s="1">
        <v>165910</v>
      </c>
      <c r="J3" s="1">
        <f>Tabel3[[#This Row],[Lumen T0 (0 hours)]]/Tabel3[[#This Row],[Organoid T0 (0 hour)]]*100</f>
        <v>5.4992215528328714</v>
      </c>
      <c r="K3" s="1">
        <f>Tabel3[[#This Row],[Lumen T1 (24 hour)]]/Tabel3[[#This Row],[Organoid T1 (24 hour)]]*100</f>
        <v>73.999390515483256</v>
      </c>
      <c r="L3" s="1">
        <f>Tabel3[[#This Row],[Lumen T2 (25 hour)]]/Tabel3[[#This Row],[Organoid T2 (25 hour)]]*100</f>
        <v>66.736120608513076</v>
      </c>
    </row>
    <row r="4" spans="1:12" x14ac:dyDescent="0.25">
      <c r="A4" s="1" t="s">
        <v>6</v>
      </c>
      <c r="B4" s="1" t="s">
        <v>29</v>
      </c>
      <c r="C4" s="1" t="s">
        <v>19</v>
      </c>
      <c r="D4" s="1">
        <v>110080</v>
      </c>
      <c r="E4" s="1">
        <v>5954</v>
      </c>
      <c r="F4" s="1">
        <v>241215</v>
      </c>
      <c r="G4" s="1">
        <v>175555</v>
      </c>
      <c r="H4" s="1">
        <v>215298</v>
      </c>
      <c r="I4" s="1">
        <v>164523</v>
      </c>
      <c r="J4" s="1">
        <f>Tabel3[[#This Row],[Lumen T0 (0 hours)]]/Tabel3[[#This Row],[Organoid T0 (0 hour)]]*100</f>
        <v>5.4087936046511631</v>
      </c>
      <c r="K4" s="1">
        <f>Tabel3[[#This Row],[Lumen T1 (24 hour)]]/Tabel3[[#This Row],[Organoid T1 (24 hour)]]*100</f>
        <v>72.779470596770508</v>
      </c>
      <c r="L4" s="1">
        <f>Tabel3[[#This Row],[Lumen T2 (25 hour)]]/Tabel3[[#This Row],[Organoid T2 (25 hour)]]*100</f>
        <v>76.416408884429956</v>
      </c>
    </row>
    <row r="5" spans="1:12" x14ac:dyDescent="0.25">
      <c r="A5" s="1" t="s">
        <v>7</v>
      </c>
      <c r="B5" s="1" t="s">
        <v>28</v>
      </c>
      <c r="C5" s="1" t="s">
        <v>3</v>
      </c>
      <c r="D5" s="1">
        <v>36175</v>
      </c>
      <c r="E5" s="1">
        <v>3051</v>
      </c>
      <c r="F5" s="1">
        <v>55656</v>
      </c>
      <c r="G5" s="1">
        <v>5961</v>
      </c>
      <c r="H5" s="1">
        <v>65507</v>
      </c>
      <c r="I5" s="1">
        <v>20278</v>
      </c>
      <c r="J5" s="1">
        <f>Tabel3[[#This Row],[Lumen T0 (0 hours)]]/Tabel3[[#This Row],[Organoid T0 (0 hour)]]*100</f>
        <v>8.4340013821700079</v>
      </c>
      <c r="K5" s="1">
        <f>Tabel3[[#This Row],[Lumen T1 (24 hour)]]/Tabel3[[#This Row],[Organoid T1 (24 hour)]]*100</f>
        <v>10.710435532557137</v>
      </c>
      <c r="L5" s="1">
        <f>Tabel3[[#This Row],[Lumen T2 (25 hour)]]/Tabel3[[#This Row],[Organoid T2 (25 hour)]]*100</f>
        <v>30.955470407742684</v>
      </c>
    </row>
    <row r="6" spans="1:12" x14ac:dyDescent="0.25">
      <c r="A6" s="1" t="s">
        <v>8</v>
      </c>
      <c r="B6" s="1" t="s">
        <v>28</v>
      </c>
      <c r="C6" s="1" t="s">
        <v>3</v>
      </c>
      <c r="D6" s="1">
        <v>51926</v>
      </c>
      <c r="E6" s="1">
        <v>2322</v>
      </c>
      <c r="F6" s="1">
        <v>74353</v>
      </c>
      <c r="G6" s="1">
        <v>1455</v>
      </c>
      <c r="H6" s="1">
        <v>73865</v>
      </c>
      <c r="I6" s="1">
        <v>20500</v>
      </c>
      <c r="J6" s="1">
        <f>Tabel3[[#This Row],[Lumen T0 (0 hours)]]/Tabel3[[#This Row],[Organoid T0 (0 hour)]]*100</f>
        <v>4.4717482571351539</v>
      </c>
      <c r="K6" s="1">
        <f>Tabel3[[#This Row],[Lumen T1 (24 hour)]]/Tabel3[[#This Row],[Organoid T1 (24 hour)]]*100</f>
        <v>1.9568813632267696</v>
      </c>
      <c r="L6" s="1">
        <f>Tabel3[[#This Row],[Lumen T2 (25 hour)]]/Tabel3[[#This Row],[Organoid T2 (25 hour)]]*100</f>
        <v>27.753333784607054</v>
      </c>
    </row>
    <row r="7" spans="1:12" x14ac:dyDescent="0.25">
      <c r="A7" s="1" t="s">
        <v>9</v>
      </c>
      <c r="B7" s="1" t="s">
        <v>26</v>
      </c>
      <c r="C7" s="1" t="s">
        <v>3</v>
      </c>
      <c r="D7" s="1">
        <v>160428</v>
      </c>
      <c r="E7" s="1">
        <v>7663</v>
      </c>
      <c r="F7" s="1">
        <v>181367</v>
      </c>
      <c r="G7" s="1">
        <v>13860</v>
      </c>
      <c r="H7" s="1">
        <v>174744</v>
      </c>
      <c r="I7" s="1">
        <v>12881</v>
      </c>
      <c r="J7" s="1">
        <f>Tabel3[[#This Row],[Lumen T0 (0 hours)]]/Tabel3[[#This Row],[Organoid T0 (0 hour)]]*100</f>
        <v>4.7765976014162117</v>
      </c>
      <c r="K7" s="1">
        <f>Tabel3[[#This Row],[Lumen T1 (24 hour)]]/Tabel3[[#This Row],[Organoid T1 (24 hour)]]*100</f>
        <v>7.6419635325059136</v>
      </c>
      <c r="L7" s="1">
        <f>Tabel3[[#This Row],[Lumen T2 (25 hour)]]/Tabel3[[#This Row],[Organoid T2 (25 hour)]]*100</f>
        <v>7.3713546673991672</v>
      </c>
    </row>
    <row r="8" spans="1:12" x14ac:dyDescent="0.25">
      <c r="A8" s="1" t="s">
        <v>10</v>
      </c>
      <c r="B8" s="1" t="s">
        <v>26</v>
      </c>
      <c r="C8" s="1" t="s">
        <v>3</v>
      </c>
      <c r="D8" s="1">
        <v>159035</v>
      </c>
      <c r="E8" s="1">
        <v>13001</v>
      </c>
      <c r="F8" s="1">
        <v>204323</v>
      </c>
      <c r="G8" s="1">
        <v>11669</v>
      </c>
      <c r="H8" s="1">
        <v>184184</v>
      </c>
      <c r="I8" s="1">
        <v>9232</v>
      </c>
      <c r="J8" s="1">
        <f>Tabel3[[#This Row],[Lumen T0 (0 hours)]]/Tabel3[[#This Row],[Organoid T0 (0 hour)]]*100</f>
        <v>8.1749300468450343</v>
      </c>
      <c r="K8" s="1">
        <f>Tabel3[[#This Row],[Lumen T1 (24 hour)]]/Tabel3[[#This Row],[Organoid T1 (24 hour)]]*100</f>
        <v>5.7110555346192058</v>
      </c>
      <c r="L8" s="1">
        <f>Tabel3[[#This Row],[Lumen T2 (25 hour)]]/Tabel3[[#This Row],[Organoid T2 (25 hour)]]*100</f>
        <v>5.0123789254224036</v>
      </c>
    </row>
    <row r="9" spans="1:12" x14ac:dyDescent="0.25">
      <c r="A9" s="1" t="s">
        <v>11</v>
      </c>
      <c r="B9" s="1" t="s">
        <v>29</v>
      </c>
      <c r="C9" s="1" t="s">
        <v>19</v>
      </c>
      <c r="D9" s="1">
        <v>126912</v>
      </c>
      <c r="E9" s="1">
        <v>7237</v>
      </c>
      <c r="F9" s="1">
        <v>244687</v>
      </c>
      <c r="G9" s="1">
        <v>185705</v>
      </c>
      <c r="H9" s="1">
        <v>314797</v>
      </c>
      <c r="I9" s="1">
        <v>254821</v>
      </c>
      <c r="J9" s="1">
        <f>Tabel3[[#This Row],[Lumen T0 (0 hours)]]/Tabel3[[#This Row],[Organoid T0 (0 hour)]]*100</f>
        <v>5.7023764498235003</v>
      </c>
      <c r="K9" s="1">
        <f>Tabel3[[#This Row],[Lumen T1 (24 hour)]]/Tabel3[[#This Row],[Organoid T1 (24 hour)]]*100</f>
        <v>75.894918814648918</v>
      </c>
      <c r="L9" s="1">
        <f>Tabel3[[#This Row],[Lumen T2 (25 hour)]]/Tabel3[[#This Row],[Organoid T2 (25 hour)]]*100</f>
        <v>80.947721865202013</v>
      </c>
    </row>
    <row r="10" spans="1:12" x14ac:dyDescent="0.25">
      <c r="A10" s="1" t="s">
        <v>12</v>
      </c>
      <c r="B10" s="1" t="s">
        <v>28</v>
      </c>
      <c r="C10" s="1" t="s">
        <v>3</v>
      </c>
      <c r="D10" s="1">
        <v>18062</v>
      </c>
      <c r="E10" s="1">
        <v>689</v>
      </c>
      <c r="F10" s="1">
        <v>28642</v>
      </c>
      <c r="G10" s="1">
        <v>1650</v>
      </c>
      <c r="H10" s="1">
        <v>32760</v>
      </c>
      <c r="I10" s="1">
        <v>9987</v>
      </c>
      <c r="J10" s="1">
        <f>Tabel3[[#This Row],[Lumen T0 (0 hours)]]/Tabel3[[#This Row],[Organoid T0 (0 hour)]]*100</f>
        <v>3.8146384675008305</v>
      </c>
      <c r="K10" s="1">
        <f>Tabel3[[#This Row],[Lumen T1 (24 hour)]]/Tabel3[[#This Row],[Organoid T1 (24 hour)]]*100</f>
        <v>5.7607708958871591</v>
      </c>
      <c r="L10" s="1">
        <f>Tabel3[[#This Row],[Lumen T2 (25 hour)]]/Tabel3[[#This Row],[Organoid T2 (25 hour)]]*100</f>
        <v>30.485347985347989</v>
      </c>
    </row>
    <row r="11" spans="1:12" x14ac:dyDescent="0.25">
      <c r="A11" s="1" t="s">
        <v>13</v>
      </c>
      <c r="B11" s="1" t="s">
        <v>27</v>
      </c>
      <c r="C11" s="1" t="s">
        <v>3</v>
      </c>
      <c r="D11" s="1">
        <v>54105</v>
      </c>
      <c r="E11" s="1">
        <v>2491</v>
      </c>
      <c r="F11" s="1">
        <v>67801</v>
      </c>
      <c r="G11" s="1">
        <v>1965</v>
      </c>
      <c r="H11" s="1">
        <v>63678</v>
      </c>
      <c r="I11" s="1">
        <v>3043</v>
      </c>
      <c r="J11" s="1">
        <f>Tabel3[[#This Row],[Lumen T0 (0 hours)]]/Tabel3[[#This Row],[Organoid T0 (0 hour)]]*100</f>
        <v>4.6040107198964977</v>
      </c>
      <c r="K11" s="1">
        <f>Tabel3[[#This Row],[Lumen T1 (24 hour)]]/Tabel3[[#This Row],[Organoid T1 (24 hour)]]*100</f>
        <v>2.8981873423695816</v>
      </c>
      <c r="L11" s="1">
        <f>Tabel3[[#This Row],[Lumen T2 (25 hour)]]/Tabel3[[#This Row],[Organoid T2 (25 hour)]]*100</f>
        <v>4.7787304877665759</v>
      </c>
    </row>
    <row r="12" spans="1:12" x14ac:dyDescent="0.25">
      <c r="A12" s="1" t="s">
        <v>14</v>
      </c>
      <c r="B12" s="1" t="s">
        <v>27</v>
      </c>
      <c r="C12" s="1" t="s">
        <v>3</v>
      </c>
      <c r="D12" s="1">
        <v>60984</v>
      </c>
      <c r="E12" s="1">
        <v>1246</v>
      </c>
      <c r="F12" s="1">
        <v>72700</v>
      </c>
      <c r="G12" s="1">
        <v>2177</v>
      </c>
      <c r="H12" s="1">
        <v>80473</v>
      </c>
      <c r="I12" s="1">
        <v>2852</v>
      </c>
      <c r="J12" s="1">
        <f>Tabel3[[#This Row],[Lumen T0 (0 hours)]]/Tabel3[[#This Row],[Organoid T0 (0 hour)]]*100</f>
        <v>2.0431588613406793</v>
      </c>
      <c r="K12" s="1">
        <f>Tabel3[[#This Row],[Lumen T1 (24 hour)]]/Tabel3[[#This Row],[Organoid T1 (24 hour)]]*100</f>
        <v>2.9944979367262725</v>
      </c>
      <c r="L12" s="1">
        <f>Tabel3[[#This Row],[Lumen T2 (25 hour)]]/Tabel3[[#This Row],[Organoid T2 (25 hour)]]*100</f>
        <v>3.5440458290358259</v>
      </c>
    </row>
    <row r="13" spans="1:12" x14ac:dyDescent="0.25">
      <c r="A13" s="1" t="s">
        <v>15</v>
      </c>
      <c r="B13" s="1" t="s">
        <v>29</v>
      </c>
      <c r="C13" s="1" t="s">
        <v>3</v>
      </c>
      <c r="D13" s="1">
        <v>96541</v>
      </c>
      <c r="E13" s="1">
        <v>4375</v>
      </c>
      <c r="F13" s="1">
        <v>110250</v>
      </c>
      <c r="G13" s="1">
        <v>7272</v>
      </c>
      <c r="H13" s="1">
        <v>115665</v>
      </c>
      <c r="I13" s="1">
        <v>35239</v>
      </c>
      <c r="J13" s="1">
        <f>Tabel3[[#This Row],[Lumen T0 (0 hours)]]/Tabel3[[#This Row],[Organoid T0 (0 hour)]]*100</f>
        <v>4.5317533483183317</v>
      </c>
      <c r="K13" s="1">
        <f>Tabel3[[#This Row],[Lumen T1 (24 hour)]]/Tabel3[[#This Row],[Organoid T1 (24 hour)]]*100</f>
        <v>6.5959183673469379</v>
      </c>
      <c r="L13" s="1">
        <f>Tabel3[[#This Row],[Lumen T2 (25 hour)]]/Tabel3[[#This Row],[Organoid T2 (25 hour)]]*100</f>
        <v>30.466433233908269</v>
      </c>
    </row>
    <row r="14" spans="1:12" x14ac:dyDescent="0.25">
      <c r="A14" s="1" t="s">
        <v>16</v>
      </c>
      <c r="B14" s="1" t="s">
        <v>29</v>
      </c>
      <c r="C14" s="1" t="s">
        <v>3</v>
      </c>
      <c r="D14" s="1">
        <v>132118</v>
      </c>
      <c r="E14" s="1">
        <v>1775</v>
      </c>
      <c r="F14" s="1">
        <v>131751</v>
      </c>
      <c r="G14" s="1">
        <v>4562</v>
      </c>
      <c r="H14" s="1">
        <v>189818</v>
      </c>
      <c r="I14" s="1">
        <v>45048</v>
      </c>
      <c r="J14" s="1">
        <f>Tabel3[[#This Row],[Lumen T0 (0 hours)]]/Tabel3[[#This Row],[Organoid T0 (0 hour)]]*100</f>
        <v>1.3434959657276071</v>
      </c>
      <c r="K14" s="1">
        <f>Tabel3[[#This Row],[Lumen T1 (24 hour)]]/Tabel3[[#This Row],[Organoid T1 (24 hour)]]*100</f>
        <v>3.4625923142898349</v>
      </c>
      <c r="L14" s="1">
        <f>Tabel3[[#This Row],[Lumen T2 (25 hour)]]/Tabel3[[#This Row],[Organoid T2 (25 hour)]]*100</f>
        <v>23.732206640044677</v>
      </c>
    </row>
    <row r="15" spans="1:12" x14ac:dyDescent="0.25">
      <c r="A15" s="1" t="s">
        <v>17</v>
      </c>
      <c r="B15" s="1" t="s">
        <v>27</v>
      </c>
      <c r="C15" s="1" t="s">
        <v>3</v>
      </c>
      <c r="D15" s="1">
        <v>98561</v>
      </c>
      <c r="E15" s="1">
        <v>4597</v>
      </c>
      <c r="F15" s="1">
        <v>128475</v>
      </c>
      <c r="G15" s="1">
        <v>680</v>
      </c>
      <c r="H15" s="1">
        <v>121680</v>
      </c>
      <c r="I15" s="1">
        <v>9058</v>
      </c>
      <c r="J15" s="1">
        <f>Tabel3[[#This Row],[Lumen T0 (0 hours)]]/Tabel3[[#This Row],[Organoid T0 (0 hour)]]*100</f>
        <v>4.6641166384269646</v>
      </c>
      <c r="K15" s="1">
        <f>Tabel3[[#This Row],[Lumen T1 (24 hour)]]/Tabel3[[#This Row],[Organoid T1 (24 hour)]]*100</f>
        <v>0.52928585327884803</v>
      </c>
      <c r="L15" s="1">
        <f>Tabel3[[#This Row],[Lumen T2 (25 hour)]]/Tabel3[[#This Row],[Organoid T2 (25 hour)]]*100</f>
        <v>7.4441157133464833</v>
      </c>
    </row>
    <row r="16" spans="1:12" x14ac:dyDescent="0.25">
      <c r="A16" s="1" t="s">
        <v>18</v>
      </c>
      <c r="B16" s="1" t="s">
        <v>29</v>
      </c>
      <c r="C16" s="1" t="s">
        <v>3</v>
      </c>
      <c r="D16" s="1">
        <v>70936</v>
      </c>
      <c r="E16" s="1">
        <v>2491</v>
      </c>
      <c r="F16" s="1">
        <v>79572</v>
      </c>
      <c r="G16" s="1">
        <v>3609</v>
      </c>
      <c r="H16" s="1">
        <v>87993</v>
      </c>
      <c r="I16" s="1">
        <v>24432</v>
      </c>
      <c r="J16" s="1">
        <f>Tabel3[[#This Row],[Lumen T0 (0 hours)]]/Tabel3[[#This Row],[Organoid T0 (0 hour)]]*100</f>
        <v>3.5116161046577195</v>
      </c>
      <c r="K16" s="1">
        <f>Tabel3[[#This Row],[Lumen T1 (24 hour)]]/Tabel3[[#This Row],[Organoid T1 (24 hour)]]*100</f>
        <v>4.5355150052782385</v>
      </c>
      <c r="L16" s="1">
        <f>Tabel3[[#This Row],[Lumen T2 (25 hour)]]/Tabel3[[#This Row],[Organoid T2 (25 hour)]]*100</f>
        <v>27.765845010398554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UMC Utrecht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Lefferts, J.W. (Juliet)</dc:creator>
  <cp:lastModifiedBy>Lefferts, J.W. (Juliet)</cp:lastModifiedBy>
  <dcterms:created xsi:type="dcterms:W3CDTF">2024-02-01T14:08:57Z</dcterms:created>
  <dcterms:modified xsi:type="dcterms:W3CDTF">2024-02-01T14:22:34Z</dcterms:modified>
</cp:coreProperties>
</file>